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xlcatlin.com/personal/ramesh_timakondu_xlgroup_com/Documents/1.1  -EMT/EMT 2024/"/>
    </mc:Choice>
  </mc:AlternateContent>
  <xr:revisionPtr revIDLastSave="0" documentId="8_{390A3765-5A08-4632-B41D-BAF75DB5004F}" xr6:coauthVersionLast="47" xr6:coauthVersionMax="47" xr10:uidLastSave="{00000000-0000-0000-0000-000000000000}"/>
  <bookViews>
    <workbookView xWindow="1140" yWindow="-108" windowWidth="29688" windowHeight="17496" xr2:uid="{932816C3-95D4-4B60-AAF3-B1B5EB3BBD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8" i="1"/>
  <c r="G7" i="1"/>
  <c r="G6" i="1"/>
</calcChain>
</file>

<file path=xl/sharedStrings.xml><?xml version="1.0" encoding="utf-8"?>
<sst xmlns="http://schemas.openxmlformats.org/spreadsheetml/2006/main" count="97" uniqueCount="57">
  <si>
    <t>Start date</t>
  </si>
  <si>
    <t>End date</t>
  </si>
  <si>
    <t>TBD</t>
  </si>
  <si>
    <t>Please use a max percentage of 95% for contractors that are fully devoted to MTTC.</t>
  </si>
  <si>
    <t>Sub-Workstream</t>
  </si>
  <si>
    <t>Res Pot</t>
  </si>
  <si>
    <t>Resource</t>
  </si>
  <si>
    <t>Functional Role</t>
  </si>
  <si>
    <t>Planview Role</t>
  </si>
  <si>
    <t>FTE/
Contractor</t>
  </si>
  <si>
    <t>Onshore/
Offshore</t>
  </si>
  <si>
    <t>Location</t>
  </si>
  <si>
    <t>Daily Rate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</si>
  <si>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</si>
  <si>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</si>
  <si>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</si>
  <si>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</si>
  <si>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</si>
  <si>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</si>
  <si>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</si>
  <si>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</si>
  <si>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</si>
  <si>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</si>
  <si>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</si>
  <si>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</si>
  <si>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Lloyds BP</t>
  </si>
  <si>
    <t>Project Manager</t>
  </si>
  <si>
    <t>Proj Mgr.(Jr Pgrm Mgr.) FTE Onshore</t>
  </si>
  <si>
    <t>FTE</t>
  </si>
  <si>
    <t>United States</t>
  </si>
  <si>
    <t>Jason</t>
  </si>
  <si>
    <t>BEM</t>
  </si>
  <si>
    <t>Sr Proj Mgr.(Pgrm Mgr.) FTE Onshore</t>
  </si>
  <si>
    <t>Lalit</t>
  </si>
  <si>
    <t>SDC Soultion Architect</t>
  </si>
  <si>
    <t>Solutions Architects FTE Onshore</t>
  </si>
  <si>
    <t>Business Analyst</t>
  </si>
  <si>
    <t>Business Analyst FTE Onshore</t>
  </si>
  <si>
    <t>Onshore</t>
  </si>
  <si>
    <t>Europe</t>
  </si>
  <si>
    <t>Ambuj</t>
  </si>
  <si>
    <t>Application Manager</t>
  </si>
  <si>
    <t>Tech. Architect FTE Offshore</t>
  </si>
  <si>
    <t>United Kingdom</t>
  </si>
  <si>
    <t>Technical Lead (Onshore)</t>
  </si>
  <si>
    <t>Tech. Analyst Contractor Onshore</t>
  </si>
  <si>
    <t>Contractor</t>
  </si>
  <si>
    <t>Technical Lead(Offshore)</t>
  </si>
  <si>
    <t>Tech. Analyst Contractor Offshore</t>
  </si>
  <si>
    <t>Offshore</t>
  </si>
  <si>
    <t>India</t>
  </si>
  <si>
    <t>Developer</t>
  </si>
  <si>
    <t>Developer Contractor Offshore</t>
  </si>
  <si>
    <t>QA Lead Onshore</t>
  </si>
  <si>
    <t>QA Tester Contractor Onshore</t>
  </si>
  <si>
    <t>QA Tester</t>
  </si>
  <si>
    <t>QA Tester Contractor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</si>
</sst>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sz val="9"/>
      <name val="Roboto"/>
    </font>
    <font>
      <b/>
      <sz val="9"/>
      <color rgb="FFFF0000"/>
      <name val="Roboto"/>
    </font>
    <font>
      <b/>
      <sz val="9"/>
      <name val="Roboto"/>
    </font>
    <font>
      <b/>
      <sz val="9"/>
      <color theme="9" tint="-0.249977111117893"/>
      <name val="Roboto"/>
    </font>
    <font>
      <b/>
      <sz val="9"/>
      <color theme="9" tint="-0.499984740745262"/>
      <name val="Roboto"/>
    </font>
    <font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/>
    <xf numFmtId="17" fontId="2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164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180" wrapText="1"/>
    </xf>
    <xf numFmtId="0" fontId="1" fillId="2" borderId="1" xfId="0" applyFont="1" applyFill="1" applyBorder="1"/>
    <xf numFmtId="0" fontId="1" fillId="0" borderId="1" xfId="0" applyFont="1" applyBorder="1" applyAlignment="1" applyProtection="1">
      <alignment horizontal="left"/>
      <protection locked="0"/>
    </xf>
    <xf numFmtId="0" fontId="6" fillId="0" borderId="1" xfId="0" applyFont="1" applyBorder="1"/>
    <xf numFmtId="0" fontId="1" fillId="0" borderId="1" xfId="0" applyFont="1" applyBorder="1"/>
    <xf numFmtId="164" fontId="3" fillId="2" borderId="1" xfId="0" applyNumberFormat="1" applyFont="1" applyFill="1" applyBorder="1"/>
    <xf numFmtId="9" fontId="1" fillId="3" borderId="0" xfId="0" applyNumberFormat="1" applyFont="1" applyFill="1" applyProtection="1">
      <protection locked="0"/>
    </xf>
    <xf numFmtId="9" fontId="1" fillId="3" borderId="2" xfId="0" applyNumberFormat="1" applyFont="1" applyFill="1" applyBorder="1" applyProtection="1"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7FA9-C08D-4253-90BE-122497EA637C}">
  <dimension ref="A1:U26"/>
  <sheetViews>
    <sheetView tabSelected="1" workbookViewId="0">
      <selection sqref="A1:U1048576"/>
    </sheetView>
  </sheetViews>
  <sheetFormatPr defaultRowHeight="14.45"/>
  <cols>
    <col min="1" max="1" width="12" style="1" customWidth="1"/>
    <col min="2" max="2" width="9.28515625" style="2" hidden="1" customWidth="1"/>
    <col min="3" max="3" width="9.42578125" style="24" customWidth="1"/>
    <col min="4" max="4" width="19.140625" style="1" customWidth="1"/>
    <col min="5" max="5" width="32.7109375" style="1" customWidth="1"/>
    <col min="6" max="6" width="12.5703125" style="1" customWidth="1"/>
    <col min="7" max="7" width="10.85546875" style="1" customWidth="1"/>
    <col min="8" max="8" width="13.5703125" style="1" bestFit="1" customWidth="1"/>
    <col min="9" max="9" width="9.28515625" style="4" hidden="1" customWidth="1"/>
    <col min="10" max="10" width="6" style="1" customWidth="1"/>
    <col min="11" max="11" width="5.5703125" style="1" customWidth="1"/>
    <col min="12" max="12" width="8" style="1" customWidth="1"/>
    <col min="13" max="13" width="7.85546875" style="1" bestFit="1" customWidth="1"/>
    <col min="14" max="14" width="7.140625" style="1" customWidth="1"/>
    <col min="15" max="21" width="8" style="1" customWidth="1"/>
  </cols>
  <sheetData>
    <row r="1" spans="1:21">
      <c r="C1" s="3"/>
    </row>
    <row r="2" spans="1:21">
      <c r="A2" s="1" t="s">
        <v>0</v>
      </c>
      <c r="C2" s="5">
        <v>45292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>
      <c r="A3" s="1" t="s">
        <v>1</v>
      </c>
      <c r="C3" s="3" t="s">
        <v>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>
      <c r="A4" s="7"/>
      <c r="B4" s="8"/>
      <c r="C4" s="9"/>
      <c r="D4" s="7"/>
      <c r="E4" s="7"/>
      <c r="F4" s="7"/>
      <c r="G4" s="7"/>
      <c r="H4" s="7"/>
      <c r="I4" s="10"/>
      <c r="J4" s="7" t="s">
        <v>3</v>
      </c>
      <c r="K4" s="11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0.6">
      <c r="A5" s="12" t="s">
        <v>4</v>
      </c>
      <c r="B5" s="13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4" t="s">
        <v>12</v>
      </c>
      <c r="J5" s="15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5" t="s">
        <v>18</v>
      </c>
      <c r="P5" s="15" t="s">
        <v>19</v>
      </c>
      <c r="Q5" s="15" t="s">
        <v>20</v>
      </c>
      <c r="R5" s="15" t="s">
        <v>21</v>
      </c>
      <c r="S5" s="15" t="s">
        <v>22</v>
      </c>
      <c r="T5" s="15" t="s">
        <v>23</v>
      </c>
      <c r="U5" s="15" t="s">
        <v>24</v>
      </c>
    </row>
    <row r="6" spans="1:21">
      <c r="A6" s="16" t="s">
        <v>25</v>
      </c>
      <c r="B6" s="17"/>
      <c r="C6" s="18" t="s">
        <v>2</v>
      </c>
      <c r="D6" s="19" t="s">
        <v>26</v>
      </c>
      <c r="E6" s="18" t="s">
        <v>27</v>
      </c>
      <c r="F6" s="18" t="s">
        <v>28</v>
      </c>
      <c r="G6" s="18" t="str">
        <f>IF(ISNUMBER(FIND("Offshore",E6)),"Offshore","Onshore")</f>
        <v>Onshore</v>
      </c>
      <c r="H6" s="16" t="s">
        <v>29</v>
      </c>
      <c r="I6" s="20">
        <v>1000</v>
      </c>
      <c r="J6" s="21">
        <v>0.1</v>
      </c>
      <c r="K6" s="21">
        <v>0.1</v>
      </c>
      <c r="L6" s="21">
        <v>0.1</v>
      </c>
      <c r="M6" s="21">
        <v>0.1</v>
      </c>
      <c r="N6" s="21">
        <v>0.1</v>
      </c>
      <c r="O6" s="21">
        <v>0.1</v>
      </c>
      <c r="P6" s="21">
        <v>0.1</v>
      </c>
      <c r="Q6" s="21"/>
      <c r="R6" s="21"/>
      <c r="S6" s="21"/>
      <c r="T6" s="21"/>
      <c r="U6" s="22"/>
    </row>
    <row r="7" spans="1:21">
      <c r="A7" s="16" t="s">
        <v>25</v>
      </c>
      <c r="B7" s="17"/>
      <c r="C7" s="18" t="s">
        <v>30</v>
      </c>
      <c r="D7" s="19" t="s">
        <v>31</v>
      </c>
      <c r="E7" s="18" t="s">
        <v>32</v>
      </c>
      <c r="F7" s="18" t="s">
        <v>28</v>
      </c>
      <c r="G7" s="18" t="str">
        <f>IF(ISNUMBER(FIND("Offshore",E7)),"Offshore","Onshore")</f>
        <v>Onshore</v>
      </c>
      <c r="H7" s="16" t="s">
        <v>29</v>
      </c>
      <c r="I7" s="20">
        <v>1000</v>
      </c>
      <c r="J7" s="21">
        <v>0.1</v>
      </c>
      <c r="K7" s="21">
        <v>0.1</v>
      </c>
      <c r="L7" s="21">
        <v>0.1</v>
      </c>
      <c r="M7" s="21">
        <v>0.1</v>
      </c>
      <c r="N7" s="21">
        <v>0.1</v>
      </c>
      <c r="O7" s="21">
        <v>0.1</v>
      </c>
      <c r="P7" s="21">
        <v>0.1</v>
      </c>
      <c r="Q7" s="21"/>
      <c r="R7" s="21"/>
      <c r="S7" s="21"/>
      <c r="T7" s="21"/>
      <c r="U7" s="22"/>
    </row>
    <row r="8" spans="1:21">
      <c r="A8" s="16" t="s">
        <v>25</v>
      </c>
      <c r="B8" s="17"/>
      <c r="C8" s="18" t="s">
        <v>33</v>
      </c>
      <c r="D8" s="19" t="s">
        <v>34</v>
      </c>
      <c r="E8" s="18" t="s">
        <v>35</v>
      </c>
      <c r="F8" s="18" t="s">
        <v>28</v>
      </c>
      <c r="G8" s="18" t="str">
        <f>IF(ISNUMBER(FIND("Offshore",E8)),"Offshore","Onshore")</f>
        <v>Onshore</v>
      </c>
      <c r="H8" s="16" t="s">
        <v>29</v>
      </c>
      <c r="I8" s="20">
        <v>1000</v>
      </c>
      <c r="J8" s="21">
        <v>0.1</v>
      </c>
      <c r="K8" s="21">
        <v>0.1</v>
      </c>
      <c r="L8" s="21"/>
      <c r="M8" s="21"/>
      <c r="N8" s="21"/>
      <c r="O8" s="21"/>
      <c r="P8" s="21"/>
      <c r="Q8" s="21"/>
      <c r="R8" s="21"/>
      <c r="S8" s="21"/>
      <c r="T8" s="21"/>
      <c r="U8" s="22"/>
    </row>
    <row r="9" spans="1:21">
      <c r="A9" s="16" t="s">
        <v>25</v>
      </c>
      <c r="B9" s="17"/>
      <c r="C9" s="18" t="s">
        <v>2</v>
      </c>
      <c r="D9" s="19" t="s">
        <v>36</v>
      </c>
      <c r="E9" s="18" t="s">
        <v>37</v>
      </c>
      <c r="F9" s="18" t="s">
        <v>28</v>
      </c>
      <c r="G9" s="18" t="s">
        <v>38</v>
      </c>
      <c r="H9" s="16" t="s">
        <v>39</v>
      </c>
      <c r="I9" s="20">
        <v>1000</v>
      </c>
      <c r="J9" s="21">
        <v>0.1</v>
      </c>
      <c r="K9" s="21">
        <v>0.1</v>
      </c>
      <c r="L9" s="21">
        <v>0.1</v>
      </c>
      <c r="M9" s="21">
        <v>0.1</v>
      </c>
      <c r="N9" s="21">
        <v>0.1</v>
      </c>
      <c r="O9" s="21">
        <v>0.1</v>
      </c>
      <c r="P9" s="21">
        <v>0.1</v>
      </c>
      <c r="Q9" s="21"/>
      <c r="R9" s="21"/>
      <c r="S9" s="21"/>
      <c r="T9" s="21"/>
      <c r="U9" s="22"/>
    </row>
    <row r="10" spans="1:21">
      <c r="A10" s="16" t="s">
        <v>25</v>
      </c>
      <c r="B10" s="17"/>
      <c r="C10" s="18" t="s">
        <v>40</v>
      </c>
      <c r="D10" s="19" t="s">
        <v>41</v>
      </c>
      <c r="E10" s="18" t="s">
        <v>42</v>
      </c>
      <c r="F10" s="18" t="s">
        <v>28</v>
      </c>
      <c r="G10" s="18" t="s">
        <v>38</v>
      </c>
      <c r="H10" s="16" t="s">
        <v>43</v>
      </c>
      <c r="I10" s="20">
        <v>1000</v>
      </c>
      <c r="J10" s="21">
        <v>0.5</v>
      </c>
      <c r="K10" s="21">
        <v>0.75</v>
      </c>
      <c r="L10" s="21">
        <v>0.5</v>
      </c>
      <c r="M10" s="21">
        <v>0.5</v>
      </c>
      <c r="N10" s="21">
        <v>0.5</v>
      </c>
      <c r="O10" s="21">
        <v>0.25</v>
      </c>
      <c r="P10" s="21">
        <v>0.25</v>
      </c>
      <c r="Q10" s="21"/>
      <c r="R10" s="21"/>
      <c r="S10" s="21"/>
      <c r="T10" s="21"/>
      <c r="U10" s="22"/>
    </row>
    <row r="11" spans="1:21">
      <c r="A11" s="16" t="s">
        <v>25</v>
      </c>
      <c r="B11" s="17"/>
      <c r="C11" s="18" t="s">
        <v>2</v>
      </c>
      <c r="D11" s="19" t="s">
        <v>44</v>
      </c>
      <c r="E11" s="18" t="s">
        <v>45</v>
      </c>
      <c r="F11" s="18" t="s">
        <v>46</v>
      </c>
      <c r="G11" s="18" t="s">
        <v>38</v>
      </c>
      <c r="H11" s="16" t="s">
        <v>29</v>
      </c>
      <c r="I11" s="20">
        <v>703</v>
      </c>
      <c r="J11" s="21">
        <v>1</v>
      </c>
      <c r="K11" s="21">
        <v>1</v>
      </c>
      <c r="L11" s="21">
        <v>1</v>
      </c>
      <c r="M11" s="21">
        <v>1</v>
      </c>
      <c r="N11" s="21">
        <v>1</v>
      </c>
      <c r="O11" s="21">
        <v>1</v>
      </c>
      <c r="P11" s="21">
        <v>1</v>
      </c>
      <c r="Q11" s="21"/>
      <c r="R11" s="21"/>
      <c r="S11" s="21"/>
      <c r="T11" s="21"/>
      <c r="U11" s="22"/>
    </row>
    <row r="12" spans="1:21">
      <c r="A12" s="16" t="s">
        <v>25</v>
      </c>
      <c r="B12" s="17"/>
      <c r="C12" s="18" t="s">
        <v>2</v>
      </c>
      <c r="D12" s="19" t="s">
        <v>47</v>
      </c>
      <c r="E12" s="18" t="s">
        <v>48</v>
      </c>
      <c r="F12" s="18" t="s">
        <v>46</v>
      </c>
      <c r="G12" s="18" t="s">
        <v>49</v>
      </c>
      <c r="H12" s="18" t="s">
        <v>50</v>
      </c>
      <c r="I12" s="20">
        <v>206</v>
      </c>
      <c r="J12" s="21">
        <v>1</v>
      </c>
      <c r="K12" s="21">
        <v>1</v>
      </c>
      <c r="L12" s="21">
        <v>1</v>
      </c>
      <c r="M12" s="21">
        <v>1</v>
      </c>
      <c r="N12" s="21">
        <v>1</v>
      </c>
      <c r="O12" s="21">
        <v>1</v>
      </c>
      <c r="P12" s="21">
        <v>1</v>
      </c>
      <c r="Q12" s="21"/>
      <c r="R12" s="21"/>
      <c r="S12" s="21"/>
      <c r="T12" s="21"/>
      <c r="U12" s="22"/>
    </row>
    <row r="13" spans="1:21">
      <c r="A13" s="16" t="s">
        <v>25</v>
      </c>
      <c r="B13" s="17"/>
      <c r="C13" s="18" t="s">
        <v>2</v>
      </c>
      <c r="D13" s="19" t="s">
        <v>51</v>
      </c>
      <c r="E13" s="18" t="s">
        <v>52</v>
      </c>
      <c r="F13" s="18" t="s">
        <v>46</v>
      </c>
      <c r="G13" s="18" t="s">
        <v>49</v>
      </c>
      <c r="H13" s="18" t="s">
        <v>50</v>
      </c>
      <c r="I13" s="20">
        <v>206</v>
      </c>
      <c r="J13" s="21">
        <v>1</v>
      </c>
      <c r="K13" s="21">
        <v>1</v>
      </c>
      <c r="L13" s="21">
        <v>1</v>
      </c>
      <c r="M13" s="21">
        <v>1</v>
      </c>
      <c r="N13" s="21">
        <v>1</v>
      </c>
      <c r="O13" s="21">
        <v>1</v>
      </c>
      <c r="P13" s="21">
        <v>1</v>
      </c>
      <c r="Q13" s="21"/>
      <c r="R13" s="21"/>
      <c r="S13" s="21"/>
      <c r="T13" s="21"/>
      <c r="U13" s="22"/>
    </row>
    <row r="14" spans="1:21">
      <c r="A14" s="16" t="s">
        <v>25</v>
      </c>
      <c r="B14" s="17"/>
      <c r="C14" s="18" t="s">
        <v>2</v>
      </c>
      <c r="D14" s="19" t="s">
        <v>53</v>
      </c>
      <c r="E14" s="18" t="s">
        <v>54</v>
      </c>
      <c r="F14" s="18" t="s">
        <v>46</v>
      </c>
      <c r="G14" s="18" t="s">
        <v>38</v>
      </c>
      <c r="H14" s="16" t="s">
        <v>29</v>
      </c>
      <c r="I14" s="20">
        <v>710</v>
      </c>
      <c r="J14" s="21"/>
      <c r="K14" s="21"/>
      <c r="L14" s="21">
        <v>0.5</v>
      </c>
      <c r="M14" s="21">
        <v>0.5</v>
      </c>
      <c r="N14" s="21">
        <v>1</v>
      </c>
      <c r="O14" s="21">
        <v>1</v>
      </c>
      <c r="P14" s="21">
        <v>1</v>
      </c>
      <c r="Q14" s="21"/>
      <c r="R14" s="21"/>
      <c r="S14" s="21"/>
      <c r="T14" s="21"/>
      <c r="U14" s="22"/>
    </row>
    <row r="15" spans="1:21">
      <c r="A15" s="16" t="s">
        <v>25</v>
      </c>
      <c r="B15" s="17"/>
      <c r="C15" s="18" t="s">
        <v>2</v>
      </c>
      <c r="D15" s="19" t="s">
        <v>55</v>
      </c>
      <c r="E15" s="18" t="s">
        <v>56</v>
      </c>
      <c r="F15" s="18" t="s">
        <v>46</v>
      </c>
      <c r="G15" s="18" t="str">
        <f t="shared" ref="G15:G16" si="0">IF(ISNUMBER(FIND("Offshore",E15)),"Offshore","Onshore")</f>
        <v>Offshore</v>
      </c>
      <c r="H15" s="18" t="s">
        <v>50</v>
      </c>
      <c r="I15" s="20">
        <v>177</v>
      </c>
      <c r="J15" s="21"/>
      <c r="K15" s="21"/>
      <c r="L15" s="21">
        <v>1</v>
      </c>
      <c r="M15" s="21">
        <v>1</v>
      </c>
      <c r="N15" s="21">
        <v>1</v>
      </c>
      <c r="O15" s="21">
        <v>1</v>
      </c>
      <c r="P15" s="21">
        <v>1</v>
      </c>
      <c r="Q15" s="21"/>
      <c r="R15" s="21"/>
      <c r="S15" s="21"/>
      <c r="T15" s="21"/>
      <c r="U15" s="22"/>
    </row>
    <row r="16" spans="1:21">
      <c r="A16" s="16" t="s">
        <v>25</v>
      </c>
      <c r="B16" s="17"/>
      <c r="C16" s="18" t="s">
        <v>2</v>
      </c>
      <c r="D16" s="19" t="s">
        <v>55</v>
      </c>
      <c r="E16" s="18" t="s">
        <v>56</v>
      </c>
      <c r="F16" s="18" t="s">
        <v>46</v>
      </c>
      <c r="G16" s="18" t="str">
        <f t="shared" si="0"/>
        <v>Offshore</v>
      </c>
      <c r="H16" s="18" t="s">
        <v>50</v>
      </c>
      <c r="I16" s="20">
        <v>178</v>
      </c>
      <c r="J16" s="21"/>
      <c r="K16" s="21"/>
      <c r="L16" s="21">
        <v>1</v>
      </c>
      <c r="M16" s="21">
        <v>1</v>
      </c>
      <c r="N16" s="21">
        <v>1</v>
      </c>
      <c r="O16" s="21">
        <v>1</v>
      </c>
      <c r="P16" s="21">
        <v>1</v>
      </c>
      <c r="Q16" s="21"/>
      <c r="R16" s="21"/>
      <c r="S16" s="21"/>
      <c r="T16" s="21"/>
      <c r="U16" s="22"/>
    </row>
    <row r="17" spans="1:2">
      <c r="A17" s="23"/>
      <c r="B17" s="8"/>
    </row>
    <row r="18" spans="1:2">
      <c r="A18" s="23"/>
      <c r="B18" s="8"/>
    </row>
    <row r="19" spans="1:2">
      <c r="A19" s="23"/>
      <c r="B19" s="8"/>
    </row>
    <row r="20" spans="1:2">
      <c r="A20" s="23"/>
      <c r="B20" s="8"/>
    </row>
    <row r="21" spans="1:2">
      <c r="A21" s="23"/>
      <c r="B21" s="8"/>
    </row>
    <row r="22" spans="1:2">
      <c r="A22" s="23"/>
      <c r="B22" s="8"/>
    </row>
    <row r="23" spans="1:2">
      <c r="A23" s="23"/>
      <c r="B23" s="8"/>
    </row>
    <row r="24" spans="1:2">
      <c r="A24" s="23"/>
      <c r="B24" s="8"/>
    </row>
    <row r="25" spans="1:2">
      <c r="A25" s="23"/>
      <c r="B25" s="8"/>
    </row>
    <row r="26" spans="1:2">
      <c r="A26" s="23"/>
      <c r="B26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dfc3efd-6e4e-40c9-86f7-c142d8c0f789}" enabled="1" method="Privileged" siteId="{53b7cac7-14be-46d4-be43-f2ad9244d90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Timakondu, Ramesh</dc:creator>
  <cp:keywords/>
  <dc:description/>
  <cp:lastModifiedBy/>
  <cp:revision/>
  <dcterms:created xsi:type="dcterms:W3CDTF">2023-09-14T13:39:42Z</dcterms:created>
  <dcterms:modified xsi:type="dcterms:W3CDTF">2026-03-17T11:56:23Z</dcterms:modified>
  <cp:category/>
  <cp:contentStatus/>
</cp:coreProperties>
</file>